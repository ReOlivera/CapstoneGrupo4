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lma\Downloads\"/>
    </mc:Choice>
  </mc:AlternateContent>
  <xr:revisionPtr revIDLastSave="0" documentId="13_ncr:1_{64A3E402-53A9-421B-BF24-44ABABC03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 Recursos" sheetId="1" r:id="rId1"/>
    <sheet name="Presupuesto Detallado" sheetId="2" r:id="rId2"/>
    <sheet name="Da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TKJky8nmWnaqv/i7wlbds27I0TomyBUc5ZyERMznpEo="/>
    </ext>
  </extLst>
</workbook>
</file>

<file path=xl/calcChain.xml><?xml version="1.0" encoding="utf-8"?>
<calcChain xmlns="http://schemas.openxmlformats.org/spreadsheetml/2006/main">
  <c r="H7" i="1" l="1"/>
  <c r="I4" i="2"/>
  <c r="G4" i="1"/>
  <c r="H8" i="1"/>
  <c r="F11" i="1"/>
  <c r="H11" i="1" s="1"/>
  <c r="F10" i="1"/>
  <c r="H10" i="1" s="1"/>
  <c r="F9" i="1"/>
  <c r="H9" i="1" s="1"/>
  <c r="I28" i="2"/>
  <c r="I42" i="2"/>
  <c r="I25" i="2"/>
  <c r="I18" i="2"/>
  <c r="I41" i="2"/>
  <c r="H21" i="1"/>
  <c r="H19" i="1"/>
  <c r="H18" i="1"/>
  <c r="H15" i="1"/>
  <c r="I46" i="2"/>
  <c r="I45" i="2"/>
  <c r="I44" i="2"/>
  <c r="I43" i="2" s="1"/>
  <c r="I35" i="2"/>
  <c r="I36" i="2"/>
  <c r="I33" i="2"/>
  <c r="I21" i="2"/>
  <c r="I27" i="2"/>
  <c r="I29" i="2"/>
  <c r="I24" i="2"/>
  <c r="I23" i="2"/>
  <c r="I22" i="2"/>
  <c r="I20" i="2"/>
  <c r="I15" i="2"/>
  <c r="I16" i="2"/>
  <c r="I11" i="2"/>
  <c r="I13" i="2"/>
  <c r="I9" i="2"/>
  <c r="I8" i="2"/>
  <c r="I7" i="2" s="1"/>
  <c r="I10" i="2"/>
  <c r="H14" i="1"/>
  <c r="H17" i="1"/>
  <c r="I40" i="2"/>
  <c r="I39" i="2"/>
  <c r="I38" i="2"/>
  <c r="I37" i="2"/>
  <c r="I32" i="2"/>
  <c r="I31" i="2"/>
  <c r="I30" i="2"/>
  <c r="I17" i="2"/>
  <c r="I12" i="2"/>
  <c r="H2" i="1"/>
  <c r="G4" i="2" l="1"/>
  <c r="E4" i="1"/>
  <c r="I26" i="2"/>
  <c r="I19" i="2"/>
  <c r="I34" i="2"/>
  <c r="I14" i="2"/>
  <c r="H4" i="1"/>
  <c r="H4" i="2" l="1"/>
</calcChain>
</file>

<file path=xl/sharedStrings.xml><?xml version="1.0" encoding="utf-8"?>
<sst xmlns="http://schemas.openxmlformats.org/spreadsheetml/2006/main" count="260" uniqueCount="124">
  <si>
    <t>Presupuesto de Proyecto</t>
  </si>
  <si>
    <t>% Reserva de Contingencia</t>
  </si>
  <si>
    <t>Presupuesto</t>
  </si>
  <si>
    <t>Reservas</t>
  </si>
  <si>
    <t>Total</t>
  </si>
  <si>
    <t>Categoría</t>
  </si>
  <si>
    <t>Recurso</t>
  </si>
  <si>
    <t>Tipo de Unidades</t>
  </si>
  <si>
    <t>Unidades</t>
  </si>
  <si>
    <t>Tasa</t>
  </si>
  <si>
    <t>Costos Directos</t>
  </si>
  <si>
    <t>Labor (Personal)</t>
  </si>
  <si>
    <t>Jefe de Proyecto</t>
  </si>
  <si>
    <t>Horas</t>
  </si>
  <si>
    <t>Unidad</t>
  </si>
  <si>
    <t>Materiales</t>
  </si>
  <si>
    <t>Licencias</t>
  </si>
  <si>
    <t>Costos Indirectos</t>
  </si>
  <si>
    <t>Gastos de Cierre y Auditoría</t>
  </si>
  <si>
    <t>Evaluación y cierre del proyecto</t>
  </si>
  <si>
    <t>Servicio</t>
  </si>
  <si>
    <t>Código</t>
  </si>
  <si>
    <t>Tarea / Actividad</t>
  </si>
  <si>
    <t>Elemento</t>
  </si>
  <si>
    <t>Tipo de Recurso</t>
  </si>
  <si>
    <t>FASE DE INICIO Y PLANIFICACIÓN</t>
  </si>
  <si>
    <t>1.1</t>
  </si>
  <si>
    <t>FASE SPRINT 0</t>
  </si>
  <si>
    <t>2.1</t>
  </si>
  <si>
    <t>3.1</t>
  </si>
  <si>
    <t>4.1</t>
  </si>
  <si>
    <t>5.1</t>
  </si>
  <si>
    <t>6.1</t>
  </si>
  <si>
    <t>POST-LANZAMIENTO Y CIERRE</t>
  </si>
  <si>
    <t>Horas / Jornadas</t>
  </si>
  <si>
    <t xml:space="preserve">Hosting </t>
  </si>
  <si>
    <t>Dominio</t>
  </si>
  <si>
    <t>Elaborado por: Equipo de desarrollo numero 4</t>
  </si>
  <si>
    <t>Líder del Proyecto: Jonathan Palma</t>
  </si>
  <si>
    <t xml:space="preserve">Fecha de Inicio: </t>
  </si>
  <si>
    <t>Programador Backend y BD</t>
  </si>
  <si>
    <t>Programador Frontend</t>
  </si>
  <si>
    <t>Jefe de Proyecto (Jonathan Palma)</t>
  </si>
  <si>
    <t>Programador Backend &amp; BD (Sergio Valdivia)</t>
  </si>
  <si>
    <t>Programador Frontend (Renato Olivera)</t>
  </si>
  <si>
    <t>Material 1 – Hosting</t>
  </si>
  <si>
    <t>Redacción del informe técnico inicial</t>
  </si>
  <si>
    <t>Análisis preliminar del caso</t>
  </si>
  <si>
    <t>Preparación documentación</t>
  </si>
  <si>
    <t>Levantamiento de requerimientos con la clínica</t>
  </si>
  <si>
    <t>Kick-off y Acta de reunión</t>
  </si>
  <si>
    <t>Cierre y entrega documentación fase 1</t>
  </si>
  <si>
    <t>Diseño entidad-relación y modelo de datos</t>
  </si>
  <si>
    <t>Configuración Java + PostgreSQL</t>
  </si>
  <si>
    <t>Implementación de módulos iniciales</t>
  </si>
  <si>
    <t>Desarrollo de backend: registro, login y citas</t>
  </si>
  <si>
    <t>Implementación interfaz responsiva (React + Vite)</t>
  </si>
  <si>
    <t>Integración inicial frontend–backend</t>
  </si>
  <si>
    <t>CRUD completo para modulo clientes y mascotas</t>
  </si>
  <si>
    <t>Vista administracion completa para el veterinario</t>
  </si>
  <si>
    <t>Integración backend avanzada</t>
  </si>
  <si>
    <t>Vista para recepcionista</t>
  </si>
  <si>
    <t>Mejoras visuales y UX</t>
  </si>
  <si>
    <t>Modulo de ficha clínica</t>
  </si>
  <si>
    <t>Certificados digitales descargables</t>
  </si>
  <si>
    <t>Implementar notificaciones automaticas (WhatsApp)</t>
  </si>
  <si>
    <t>Modulo de inventario</t>
  </si>
  <si>
    <t>Integración final frontend–backend</t>
  </si>
  <si>
    <t>FASE SPRINT 3 – Desarrollo avanzado</t>
  </si>
  <si>
    <t>Pruebas finales</t>
  </si>
  <si>
    <t>Corrección de errores</t>
  </si>
  <si>
    <t>Entrega final</t>
  </si>
  <si>
    <t>Material 2 – Dominio</t>
  </si>
  <si>
    <t>Año</t>
  </si>
  <si>
    <t>Fecha de Inicio: 10/10/2025</t>
  </si>
  <si>
    <t>Clinica Veterinaria Pucara</t>
  </si>
  <si>
    <t xml:space="preserve">Programador Backend &amp; BD (Sergio Valdivia) </t>
  </si>
  <si>
    <t>FASE SPRINT 2 –  Desarrollo intermedio</t>
  </si>
  <si>
    <t>FASE SPRINT 1 –  Desarrollo inicial del sistema</t>
  </si>
  <si>
    <t xml:space="preserve">Prototipo frontend </t>
  </si>
  <si>
    <t>Validación con cliente</t>
  </si>
  <si>
    <t xml:space="preserve">Programador Frontend (Renato Olivera) </t>
  </si>
  <si>
    <t>Jefe de proyectos (Jonathan Palma)</t>
  </si>
  <si>
    <t xml:space="preserve">Validación funcional y revisión UX   </t>
  </si>
  <si>
    <t xml:space="preserve">Jefe de Proyecto (Jonathan Palma) </t>
  </si>
  <si>
    <t>Integración final Backend-Frontend</t>
  </si>
  <si>
    <t>-</t>
  </si>
  <si>
    <t>4.2</t>
  </si>
  <si>
    <t>5.2</t>
  </si>
  <si>
    <t>1.2</t>
  </si>
  <si>
    <t>1.3</t>
  </si>
  <si>
    <t>1.4</t>
  </si>
  <si>
    <t>1.5</t>
  </si>
  <si>
    <t>1.6</t>
  </si>
  <si>
    <t>2.2</t>
  </si>
  <si>
    <t>3.3</t>
  </si>
  <si>
    <t>2.3</t>
  </si>
  <si>
    <t>3.2</t>
  </si>
  <si>
    <t>3.4</t>
  </si>
  <si>
    <t>3.5</t>
  </si>
  <si>
    <t>4.3</t>
  </si>
  <si>
    <t>4.4</t>
  </si>
  <si>
    <t>4.5</t>
  </si>
  <si>
    <t>4.6</t>
  </si>
  <si>
    <t>5.3</t>
  </si>
  <si>
    <t>5.4</t>
  </si>
  <si>
    <t>5.5</t>
  </si>
  <si>
    <t>5.6</t>
  </si>
  <si>
    <t>6.2</t>
  </si>
  <si>
    <t>6.3</t>
  </si>
  <si>
    <t>6.4</t>
  </si>
  <si>
    <t>Líder del Proyecto:  Jonathan Palma</t>
  </si>
  <si>
    <t>Materiales de capacitación (manual de usuario)</t>
  </si>
  <si>
    <t>5.7</t>
  </si>
  <si>
    <t>Validacion de integraciones</t>
  </si>
  <si>
    <t>2.4</t>
  </si>
  <si>
    <t>Reuniones de planificación y control del Gantt</t>
  </si>
  <si>
    <t>Revisión del avance, riesgos y soporte funcional</t>
  </si>
  <si>
    <t>3.6</t>
  </si>
  <si>
    <t>Mini-demo interna con la clinica</t>
  </si>
  <si>
    <t>5.8</t>
  </si>
  <si>
    <t>4.7</t>
  </si>
  <si>
    <t>Reunion para revision de avances y flujo logico</t>
  </si>
  <si>
    <t>Video demo para equipo veterinaria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</si>
</sst>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$]#,##0"/>
    <numFmt numFmtId="166" formatCode="_ * #,##0_ ;_ * \-#,##0_ ;_ * &quot;-&quot;??_ ;_ @_ 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20"/>
      <color theme="1"/>
      <name val="Calibri"/>
    </font>
    <font>
      <b/>
      <sz val="11"/>
      <color theme="1"/>
      <name val="Calibri"/>
    </font>
    <font>
      <b/>
      <sz val="14"/>
      <color rgb="FF1F497D"/>
      <name val="Calibri"/>
    </font>
    <font>
      <sz val="10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1F497D"/>
      <name val="Calibri"/>
      <family val="2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1">
    <xf numFmtId="0" fontId="0" fillId="0" borderId="0" xfId="0" applyFont="1" applyAlignment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9" fontId="5" fillId="2" borderId="1" xfId="0" applyNumberFormat="1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164" fontId="10" fillId="3" borderId="1" xfId="0" applyNumberFormat="1" applyFont="1" applyFill="1" applyBorder="1"/>
    <xf numFmtId="0" fontId="5" fillId="3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9" fontId="5" fillId="2" borderId="1" xfId="0" applyNumberFormat="1" applyFont="1" applyFill="1" applyBorder="1" applyAlignment="1"/>
    <xf numFmtId="0" fontId="11" fillId="2" borderId="1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left" vertical="top"/>
    </xf>
    <xf numFmtId="49" fontId="5" fillId="2" borderId="1" xfId="0" applyNumberFormat="1" applyFont="1" applyFill="1" applyBorder="1"/>
    <xf numFmtId="0" fontId="5" fillId="0" borderId="1" xfId="0" applyFont="1" applyFill="1" applyBorder="1"/>
    <xf numFmtId="0" fontId="7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right" vertical="top"/>
    </xf>
    <xf numFmtId="164" fontId="5" fillId="3" borderId="2" xfId="0" applyNumberFormat="1" applyFont="1" applyFill="1" applyBorder="1" applyAlignment="1">
      <alignment horizontal="left" vertical="top"/>
    </xf>
    <xf numFmtId="49" fontId="5" fillId="2" borderId="2" xfId="0" applyNumberFormat="1" applyFont="1" applyFill="1" applyBorder="1" applyAlignment="1">
      <alignment horizontal="left" vertical="top"/>
    </xf>
    <xf numFmtId="0" fontId="4" fillId="0" borderId="2" xfId="0" applyFont="1" applyBorder="1" applyAlignment="1">
      <alignment wrapText="1"/>
    </xf>
    <xf numFmtId="0" fontId="5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right" vertical="top"/>
    </xf>
    <xf numFmtId="164" fontId="5" fillId="2" borderId="2" xfId="0" applyNumberFormat="1" applyFont="1" applyFill="1" applyBorder="1" applyAlignment="1">
      <alignment horizontal="left" vertical="top"/>
    </xf>
    <xf numFmtId="164" fontId="12" fillId="0" borderId="2" xfId="0" applyNumberFormat="1" applyFont="1" applyBorder="1" applyAlignment="1"/>
    <xf numFmtId="0" fontId="7" fillId="3" borderId="2" xfId="0" applyFont="1" applyFill="1" applyBorder="1" applyAlignment="1">
      <alignment horizontal="left" vertical="top"/>
    </xf>
    <xf numFmtId="0" fontId="12" fillId="0" borderId="2" xfId="0" applyFont="1" applyBorder="1" applyAlignment="1"/>
    <xf numFmtId="49" fontId="5" fillId="2" borderId="2" xfId="0" applyNumberFormat="1" applyFont="1" applyFill="1" applyBorder="1" applyAlignment="1"/>
    <xf numFmtId="0" fontId="5" fillId="2" borderId="2" xfId="0" applyFont="1" applyFill="1" applyBorder="1"/>
    <xf numFmtId="0" fontId="5" fillId="2" borderId="2" xfId="0" applyFont="1" applyFill="1" applyBorder="1" applyAlignment="1"/>
    <xf numFmtId="4" fontId="5" fillId="2" borderId="2" xfId="0" applyNumberFormat="1" applyFont="1" applyFill="1" applyBorder="1"/>
    <xf numFmtId="0" fontId="14" fillId="3" borderId="2" xfId="0" applyFont="1" applyFill="1" applyBorder="1" applyAlignment="1"/>
    <xf numFmtId="0" fontId="5" fillId="3" borderId="2" xfId="0" applyFont="1" applyFill="1" applyBorder="1"/>
    <xf numFmtId="0" fontId="13" fillId="4" borderId="2" xfId="0" applyFont="1" applyFill="1" applyBorder="1" applyAlignment="1"/>
    <xf numFmtId="0" fontId="15" fillId="2" borderId="1" xfId="0" applyFont="1" applyFill="1" applyBorder="1" applyAlignment="1">
      <alignment horizontal="left" vertical="top"/>
    </xf>
    <xf numFmtId="0" fontId="4" fillId="0" borderId="0" xfId="0" applyFont="1" applyAlignment="1"/>
    <xf numFmtId="0" fontId="16" fillId="2" borderId="1" xfId="0" applyFont="1" applyFill="1" applyBorder="1"/>
    <xf numFmtId="0" fontId="17" fillId="2" borderId="1" xfId="0" applyFont="1" applyFill="1" applyBorder="1"/>
    <xf numFmtId="0" fontId="0" fillId="0" borderId="2" xfId="0" applyFont="1" applyBorder="1" applyAlignment="1"/>
    <xf numFmtId="3" fontId="4" fillId="0" borderId="2" xfId="0" applyNumberFormat="1" applyFont="1" applyBorder="1" applyAlignment="1"/>
    <xf numFmtId="3" fontId="5" fillId="2" borderId="2" xfId="1" applyNumberFormat="1" applyFont="1" applyFill="1" applyBorder="1" applyAlignment="1"/>
    <xf numFmtId="0" fontId="15" fillId="2" borderId="2" xfId="0" applyFont="1" applyFill="1" applyBorder="1" applyAlignment="1">
      <alignment horizontal="left" vertical="top"/>
    </xf>
    <xf numFmtId="0" fontId="4" fillId="0" borderId="2" xfId="0" applyFont="1" applyBorder="1" applyAlignment="1"/>
    <xf numFmtId="3" fontId="5" fillId="2" borderId="2" xfId="0" applyNumberFormat="1" applyFont="1" applyFill="1" applyBorder="1" applyAlignment="1">
      <alignment horizontal="right" vertical="top"/>
    </xf>
    <xf numFmtId="2" fontId="5" fillId="2" borderId="2" xfId="0" applyNumberFormat="1" applyFont="1" applyFill="1" applyBorder="1"/>
    <xf numFmtId="0" fontId="17" fillId="3" borderId="2" xfId="0" applyFont="1" applyFill="1" applyBorder="1" applyAlignment="1">
      <alignment horizontal="left" vertical="top"/>
    </xf>
    <xf numFmtId="0" fontId="18" fillId="0" borderId="2" xfId="0" applyFont="1" applyBorder="1" applyAlignment="1"/>
    <xf numFmtId="164" fontId="5" fillId="2" borderId="2" xfId="0" applyNumberFormat="1" applyFont="1" applyFill="1" applyBorder="1" applyAlignment="1">
      <alignment horizontal="right" vertical="top"/>
    </xf>
    <xf numFmtId="3" fontId="4" fillId="0" borderId="2" xfId="0" applyNumberFormat="1" applyFont="1" applyBorder="1" applyAlignment="1">
      <alignment horizontal="right"/>
    </xf>
    <xf numFmtId="164" fontId="5" fillId="3" borderId="2" xfId="0" applyNumberFormat="1" applyFont="1" applyFill="1" applyBorder="1" applyAlignment="1">
      <alignment horizontal="right" vertical="top"/>
    </xf>
    <xf numFmtId="166" fontId="5" fillId="2" borderId="2" xfId="0" applyNumberFormat="1" applyFont="1" applyFill="1" applyBorder="1" applyAlignment="1">
      <alignment horizontal="right" vertical="top"/>
    </xf>
    <xf numFmtId="3" fontId="5" fillId="2" borderId="2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3" fontId="12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4" fontId="17" fillId="3" borderId="2" xfId="0" applyNumberFormat="1" applyFont="1" applyFill="1" applyBorder="1"/>
    <xf numFmtId="164" fontId="17" fillId="3" borderId="2" xfId="0" applyNumberFormat="1" applyFont="1" applyFill="1" applyBorder="1" applyAlignment="1">
      <alignment horizontal="left" vertical="top"/>
    </xf>
    <xf numFmtId="49" fontId="15" fillId="2" borderId="2" xfId="0" applyNumberFormat="1" applyFont="1" applyFill="1" applyBorder="1" applyAlignment="1"/>
    <xf numFmtId="49" fontId="15" fillId="2" borderId="2" xfId="0" applyNumberFormat="1" applyFont="1" applyFill="1" applyBorder="1" applyAlignment="1">
      <alignment horizontal="left" vertical="top"/>
    </xf>
    <xf numFmtId="0" fontId="7" fillId="3" borderId="2" xfId="0" applyNumberFormat="1" applyFont="1" applyFill="1" applyBorder="1" applyAlignment="1">
      <alignment horizontal="left" vertical="top"/>
    </xf>
    <xf numFmtId="0" fontId="5" fillId="3" borderId="2" xfId="0" applyNumberFormat="1" applyFont="1" applyFill="1" applyBorder="1" applyAlignment="1">
      <alignment horizontal="left" vertical="top"/>
    </xf>
    <xf numFmtId="0" fontId="15" fillId="3" borderId="2" xfId="0" applyNumberFormat="1" applyFont="1" applyFill="1" applyBorder="1" applyAlignment="1">
      <alignment horizontal="left"/>
    </xf>
    <xf numFmtId="0" fontId="5" fillId="3" borderId="2" xfId="0" applyNumberFormat="1" applyFont="1" applyFill="1" applyBorder="1" applyAlignment="1">
      <alignment horizontal="left"/>
    </xf>
    <xf numFmtId="0" fontId="15" fillId="2" borderId="1" xfId="0" applyFont="1" applyFill="1" applyBorder="1"/>
    <xf numFmtId="0" fontId="11" fillId="2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left" vertical="top"/>
    </xf>
    <xf numFmtId="3" fontId="4" fillId="0" borderId="2" xfId="0" applyNumberFormat="1" applyFont="1" applyBorder="1" applyAlignment="1">
      <alignment horizontal="center"/>
    </xf>
    <xf numFmtId="165" fontId="12" fillId="0" borderId="2" xfId="0" applyNumberFormat="1" applyFont="1" applyBorder="1" applyAlignment="1"/>
    <xf numFmtId="165" fontId="5" fillId="2" borderId="2" xfId="0" applyNumberFormat="1" applyFont="1" applyFill="1" applyBorder="1" applyAlignment="1">
      <alignment horizontal="right" vertical="top"/>
    </xf>
    <xf numFmtId="3" fontId="12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 vertical="top"/>
    </xf>
    <xf numFmtId="164" fontId="5" fillId="3" borderId="2" xfId="0" applyNumberFormat="1" applyFont="1" applyFill="1" applyBorder="1" applyAlignment="1">
      <alignment horizontal="center" vertical="top"/>
    </xf>
    <xf numFmtId="165" fontId="5" fillId="3" borderId="2" xfId="0" applyNumberFormat="1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center" vertical="top"/>
    </xf>
    <xf numFmtId="0" fontId="12" fillId="3" borderId="2" xfId="0" applyFont="1" applyFill="1" applyBorder="1" applyAlignment="1"/>
    <xf numFmtId="0" fontId="5" fillId="3" borderId="2" xfId="0" applyFont="1" applyFill="1" applyBorder="1" applyAlignment="1">
      <alignment horizontal="center"/>
    </xf>
    <xf numFmtId="165" fontId="5" fillId="3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5" fontId="15" fillId="2" borderId="2" xfId="0" applyNumberFormat="1" applyFont="1" applyFill="1" applyBorder="1" applyAlignment="1"/>
    <xf numFmtId="0" fontId="20" fillId="2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0" xfId="0" applyFont="1" applyAlignment="1"/>
    <xf numFmtId="0" fontId="21" fillId="2" borderId="1" xfId="0" applyFont="1" applyFill="1" applyBorder="1"/>
    <xf numFmtId="3" fontId="5" fillId="2" borderId="1" xfId="0" applyNumberFormat="1" applyFont="1" applyFill="1" applyBorder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89"/>
  <sheetViews>
    <sheetView tabSelected="1" zoomScale="85" zoomScaleNormal="85" workbookViewId="0">
      <selection activeCell="H22" sqref="H22"/>
    </sheetView>
  </sheetViews>
  <sheetFormatPr baseColWidth="10" defaultColWidth="14.44140625" defaultRowHeight="15" customHeight="1" x14ac:dyDescent="0.3"/>
  <cols>
    <col min="1" max="1" width="1.44140625" customWidth="1"/>
    <col min="2" max="2" width="11.109375" customWidth="1"/>
    <col min="3" max="3" width="46.88671875" customWidth="1"/>
    <col min="4" max="4" width="5.6640625" customWidth="1"/>
    <col min="5" max="5" width="20.5546875" customWidth="1"/>
    <col min="6" max="7" width="29.44140625" customWidth="1"/>
    <col min="8" max="8" width="24.6640625" customWidth="1"/>
    <col min="9" max="27" width="11.44140625" customWidth="1"/>
  </cols>
  <sheetData>
    <row r="1" spans="1:27" ht="39" customHeight="1" x14ac:dyDescent="0.5">
      <c r="A1" s="1"/>
      <c r="B1" s="2" t="s">
        <v>0</v>
      </c>
      <c r="C1" s="1"/>
      <c r="D1" s="1"/>
      <c r="E1" s="1"/>
      <c r="F1" s="3"/>
      <c r="G1" s="42" t="s">
        <v>75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5">
      <c r="A2" s="1"/>
      <c r="B2" s="84" t="s">
        <v>37</v>
      </c>
      <c r="C2" s="1"/>
      <c r="D2" s="1"/>
      <c r="E2" s="1" t="s">
        <v>1</v>
      </c>
      <c r="F2" s="1"/>
      <c r="G2" s="1"/>
      <c r="H2" s="5">
        <f>'Presupuesto Detallado'!I2</f>
        <v>0.1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1"/>
      <c r="B3" s="6" t="s">
        <v>38</v>
      </c>
      <c r="C3" s="1"/>
      <c r="D3" s="7"/>
      <c r="E3" s="8" t="s">
        <v>2</v>
      </c>
      <c r="F3" s="8"/>
      <c r="G3" s="8" t="s">
        <v>3</v>
      </c>
      <c r="H3" s="8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"/>
      <c r="B4" s="6" t="s">
        <v>39</v>
      </c>
      <c r="C4" s="1"/>
      <c r="D4" s="9" t="s">
        <v>4</v>
      </c>
      <c r="E4" s="10">
        <f>H7+H20</f>
        <v>3445000</v>
      </c>
      <c r="F4" s="10"/>
      <c r="G4" s="10">
        <f>E4*H2</f>
        <v>344500</v>
      </c>
      <c r="H4" s="10">
        <f>SUM(E4:G4)</f>
        <v>3789500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"/>
      <c r="B6" s="69" t="s">
        <v>5</v>
      </c>
      <c r="C6" s="69" t="s">
        <v>6</v>
      </c>
      <c r="D6" s="69"/>
      <c r="E6" s="69" t="s">
        <v>7</v>
      </c>
      <c r="F6" s="69" t="s">
        <v>8</v>
      </c>
      <c r="G6" s="69" t="s">
        <v>9</v>
      </c>
      <c r="H6" s="69" t="s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1"/>
      <c r="B7" s="30" t="s">
        <v>10</v>
      </c>
      <c r="C7" s="30"/>
      <c r="D7" s="30"/>
      <c r="E7" s="30"/>
      <c r="F7" s="30"/>
      <c r="G7" s="30"/>
      <c r="H7" s="70">
        <f>H8+H14+H17+H21</f>
        <v>3445000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"/>
      <c r="B8" s="21" t="s">
        <v>11</v>
      </c>
      <c r="C8" s="21"/>
      <c r="D8" s="21"/>
      <c r="E8" s="21"/>
      <c r="F8" s="21"/>
      <c r="G8" s="21"/>
      <c r="H8" s="23">
        <f>SUM(H9+H10+H11)</f>
        <v>3367000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1"/>
      <c r="B9" s="26"/>
      <c r="C9" s="26" t="s">
        <v>12</v>
      </c>
      <c r="D9" s="26"/>
      <c r="E9" s="26" t="s">
        <v>13</v>
      </c>
      <c r="F9" s="71">
        <f>'Presupuesto Detallado'!G8+'Presupuesto Detallado'!G9+'Presupuesto Detallado'!G10+'Presupuesto Detallado'!G11+'Presupuesto Detallado'!G12+'Presupuesto Detallado'!G13+'Presupuesto Detallado'!G18+'Presupuesto Detallado'!G21+'Presupuesto Detallado'!G25+'Presupuesto Detallado'!G28+'Presupuesto Detallado'!G33+'Presupuesto Detallado'!G41+'Presupuesto Detallado'!G42+'Presupuesto Detallado'!G44+'Presupuesto Detallado'!G46+'Presupuesto Detallado'!G47</f>
        <v>112</v>
      </c>
      <c r="G9" s="72">
        <v>9000</v>
      </c>
      <c r="H9" s="73">
        <f>F9*G9</f>
        <v>1008000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"/>
      <c r="B10" s="26"/>
      <c r="C10" s="26" t="s">
        <v>40</v>
      </c>
      <c r="D10" s="26"/>
      <c r="E10" s="26" t="s">
        <v>13</v>
      </c>
      <c r="F10" s="71">
        <f>'Presupuesto Detallado'!G15+'Presupuesto Detallado'!G16+'Presupuesto Detallado'!G17+'Presupuesto Detallado'!G22+'Presupuesto Detallado'!G24+'Presupuesto Detallado'!G27+'Presupuesto Detallado'!G30+'Presupuesto Detallado'!G35+'Presupuesto Detallado'!G37+'Presupuesto Detallado'!G38+'Presupuesto Detallado'!G40+'Presupuesto Detallado'!G45</f>
        <v>182</v>
      </c>
      <c r="G10" s="72">
        <v>8000</v>
      </c>
      <c r="H10" s="29">
        <f>F10*G10</f>
        <v>1456000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1"/>
      <c r="B11" s="26"/>
      <c r="C11" s="31" t="s">
        <v>41</v>
      </c>
      <c r="D11" s="26"/>
      <c r="E11" s="31" t="s">
        <v>13</v>
      </c>
      <c r="F11" s="71">
        <f>'Presupuesto Detallado'!G20+'Presupuesto Detallado'!G23+'Presupuesto Detallado'!G29+'Presupuesto Detallado'!G31+'Presupuesto Detallado'!G32+'Presupuesto Detallado'!G36+'Presupuesto Detallado'!G39</f>
        <v>129</v>
      </c>
      <c r="G11" s="72">
        <v>7000</v>
      </c>
      <c r="H11" s="52">
        <f>F11*G11</f>
        <v>903000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"/>
      <c r="B12" s="26"/>
      <c r="C12" s="31"/>
      <c r="D12" s="26"/>
      <c r="E12" s="31"/>
      <c r="F12" s="74"/>
      <c r="G12" s="72"/>
      <c r="H12" s="5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1"/>
      <c r="B13" s="26"/>
      <c r="C13" s="31"/>
      <c r="D13" s="26"/>
      <c r="E13" s="31"/>
      <c r="F13" s="75"/>
      <c r="G13" s="73"/>
      <c r="H13" s="2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"/>
      <c r="B14" s="21" t="s">
        <v>15</v>
      </c>
      <c r="C14" s="21"/>
      <c r="D14" s="21"/>
      <c r="E14" s="21"/>
      <c r="F14" s="76"/>
      <c r="G14" s="77"/>
      <c r="H14" s="23">
        <f>SUM(H15:H16)</f>
        <v>20000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1"/>
      <c r="B15" s="26"/>
      <c r="C15" s="46" t="s">
        <v>112</v>
      </c>
      <c r="D15" s="26"/>
      <c r="E15" s="26" t="s">
        <v>14</v>
      </c>
      <c r="F15" s="75">
        <v>1</v>
      </c>
      <c r="G15" s="73">
        <v>20000</v>
      </c>
      <c r="H15" s="52">
        <f>F15*G15</f>
        <v>20000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"/>
      <c r="B16" s="26"/>
      <c r="C16" s="43"/>
      <c r="D16" s="26"/>
      <c r="E16" s="26"/>
      <c r="F16" s="75"/>
      <c r="G16" s="73"/>
      <c r="H16" s="5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1"/>
      <c r="B17" s="21" t="s">
        <v>16</v>
      </c>
      <c r="C17" s="21"/>
      <c r="D17" s="21"/>
      <c r="E17" s="21"/>
      <c r="F17" s="76"/>
      <c r="G17" s="77"/>
      <c r="H17" s="23">
        <f>SUM(H18:H19)</f>
        <v>38000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"/>
      <c r="B18" s="26"/>
      <c r="C18" s="26" t="s">
        <v>35</v>
      </c>
      <c r="D18" s="26"/>
      <c r="E18" s="47" t="s">
        <v>73</v>
      </c>
      <c r="F18" s="75">
        <v>1</v>
      </c>
      <c r="G18" s="73">
        <v>25000</v>
      </c>
      <c r="H18" s="52">
        <f>F18*G18</f>
        <v>25000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 customHeight="1" x14ac:dyDescent="0.3">
      <c r="A19" s="1"/>
      <c r="B19" s="26"/>
      <c r="C19" s="26" t="s">
        <v>36</v>
      </c>
      <c r="D19" s="26"/>
      <c r="E19" s="47" t="s">
        <v>73</v>
      </c>
      <c r="F19" s="75">
        <v>1</v>
      </c>
      <c r="G19" s="73">
        <v>13000</v>
      </c>
      <c r="H19" s="52">
        <f>F19*G19</f>
        <v>13000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 customHeight="1" x14ac:dyDescent="0.3">
      <c r="A20" s="1"/>
      <c r="B20" s="30" t="s">
        <v>17</v>
      </c>
      <c r="C20" s="30"/>
      <c r="D20" s="30"/>
      <c r="E20" s="30"/>
      <c r="F20" s="78"/>
      <c r="G20" s="30"/>
      <c r="H20" s="7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1"/>
      <c r="B21" s="79" t="s">
        <v>18</v>
      </c>
      <c r="C21" s="37"/>
      <c r="D21" s="37"/>
      <c r="E21" s="37"/>
      <c r="F21" s="80"/>
      <c r="G21" s="81"/>
      <c r="H21" s="23">
        <f>SUM(H22:H23)</f>
        <v>20000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"/>
      <c r="B22" s="33"/>
      <c r="C22" s="31" t="s">
        <v>19</v>
      </c>
      <c r="D22" s="33"/>
      <c r="E22" s="34" t="s">
        <v>20</v>
      </c>
      <c r="F22" s="82" t="s">
        <v>20</v>
      </c>
      <c r="G22" s="83"/>
      <c r="H22" s="52">
        <v>20000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1"/>
      <c r="B23" s="1"/>
      <c r="D23" s="1"/>
      <c r="E23" s="1"/>
      <c r="F23" s="1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"/>
      <c r="B24" s="1"/>
      <c r="C24" s="1"/>
      <c r="D24" s="1"/>
      <c r="E24" s="1"/>
      <c r="F24" s="8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</sheetData>
  <pageMargins left="0.70866141732283472" right="0.70866141732283472" top="0.74803149606299213" bottom="0.74803149606299213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44"/>
  <sheetViews>
    <sheetView zoomScale="64" zoomScaleNormal="55" workbookViewId="0">
      <selection activeCell="L6" sqref="L6"/>
    </sheetView>
  </sheetViews>
  <sheetFormatPr baseColWidth="10" defaultColWidth="14.44140625" defaultRowHeight="15" customHeight="1" x14ac:dyDescent="0.3"/>
  <cols>
    <col min="1" max="1" width="1.44140625" customWidth="1"/>
    <col min="2" max="2" width="7.88671875" customWidth="1"/>
    <col min="3" max="3" width="69.44140625" bestFit="1" customWidth="1"/>
    <col min="4" max="4" width="76.21875" bestFit="1" customWidth="1"/>
    <col min="5" max="5" width="22.5546875" bestFit="1" customWidth="1"/>
    <col min="6" max="6" width="24.6640625" customWidth="1"/>
    <col min="7" max="7" width="28.88671875" bestFit="1" customWidth="1"/>
    <col min="8" max="8" width="21.33203125" customWidth="1"/>
    <col min="9" max="9" width="14.33203125" bestFit="1" customWidth="1"/>
    <col min="10" max="26" width="11.44140625" customWidth="1"/>
  </cols>
  <sheetData>
    <row r="1" spans="1:26" ht="33.6" customHeight="1" x14ac:dyDescent="0.5">
      <c r="A1" s="1"/>
      <c r="B1" s="2" t="s">
        <v>0</v>
      </c>
      <c r="C1" s="1"/>
      <c r="D1" s="1"/>
      <c r="E1" s="1"/>
      <c r="F1" s="1"/>
      <c r="G1" s="42" t="s">
        <v>75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84" t="s">
        <v>37</v>
      </c>
      <c r="C2" s="1"/>
      <c r="D2" s="1"/>
      <c r="E2" s="1"/>
      <c r="F2" s="1"/>
      <c r="G2" s="1" t="s">
        <v>1</v>
      </c>
      <c r="H2" s="1"/>
      <c r="I2" s="15">
        <v>0.1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41" t="s">
        <v>111</v>
      </c>
      <c r="C3" s="1"/>
      <c r="D3" s="1"/>
      <c r="E3" s="7"/>
      <c r="F3" s="7"/>
      <c r="G3" s="8" t="s">
        <v>2</v>
      </c>
      <c r="H3" s="8" t="s">
        <v>3</v>
      </c>
      <c r="I3" s="8" t="s">
        <v>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1"/>
      <c r="B4" s="41" t="s">
        <v>74</v>
      </c>
      <c r="C4" s="1"/>
      <c r="D4" s="1"/>
      <c r="E4" s="9" t="s">
        <v>4</v>
      </c>
      <c r="F4" s="9"/>
      <c r="G4" s="10">
        <f>'Por Recursos'!H7</f>
        <v>3445000</v>
      </c>
      <c r="H4" s="10">
        <f>G4*I2</f>
        <v>344500</v>
      </c>
      <c r="I4" s="10">
        <f>SUM(G4:H4)</f>
        <v>3789500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6" t="s">
        <v>21</v>
      </c>
      <c r="C6" s="8" t="s">
        <v>22</v>
      </c>
      <c r="D6" s="8" t="s">
        <v>23</v>
      </c>
      <c r="E6" s="8" t="s">
        <v>24</v>
      </c>
      <c r="F6" s="8" t="s">
        <v>7</v>
      </c>
      <c r="G6" s="8" t="s">
        <v>8</v>
      </c>
      <c r="H6" s="8" t="s">
        <v>9</v>
      </c>
      <c r="I6" s="8" t="s">
        <v>2</v>
      </c>
      <c r="J6" s="6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1"/>
      <c r="B7" s="64">
        <v>1</v>
      </c>
      <c r="C7" s="20" t="s">
        <v>25</v>
      </c>
      <c r="D7" s="21"/>
      <c r="E7" s="21"/>
      <c r="F7" s="21"/>
      <c r="G7" s="22"/>
      <c r="H7" s="21"/>
      <c r="I7" s="61">
        <f>I8+I9+I10+I11+I12+I13</f>
        <v>360006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24" t="s">
        <v>26</v>
      </c>
      <c r="C8" s="25" t="s">
        <v>46</v>
      </c>
      <c r="D8" s="26" t="s">
        <v>42</v>
      </c>
      <c r="E8" s="28" t="s">
        <v>11</v>
      </c>
      <c r="F8" s="28" t="s">
        <v>13</v>
      </c>
      <c r="G8" s="27">
        <v>10</v>
      </c>
      <c r="H8" s="48">
        <v>9000</v>
      </c>
      <c r="I8" s="28">
        <f>G8*H8</f>
        <v>90000</v>
      </c>
      <c r="J8" s="68"/>
      <c r="K8" s="68"/>
      <c r="L8" s="6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63" t="s">
        <v>89</v>
      </c>
      <c r="C9" s="25" t="s">
        <v>47</v>
      </c>
      <c r="D9" s="26" t="s">
        <v>42</v>
      </c>
      <c r="E9" s="28" t="s">
        <v>11</v>
      </c>
      <c r="F9" s="28" t="s">
        <v>13</v>
      </c>
      <c r="G9" s="27">
        <v>9</v>
      </c>
      <c r="H9" s="48">
        <v>9000</v>
      </c>
      <c r="I9" s="28">
        <f>G9*H9</f>
        <v>81000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24" t="s">
        <v>90</v>
      </c>
      <c r="C10" s="25" t="s">
        <v>48</v>
      </c>
      <c r="D10" s="26" t="s">
        <v>42</v>
      </c>
      <c r="E10" s="28" t="s">
        <v>11</v>
      </c>
      <c r="F10" s="28" t="s">
        <v>13</v>
      </c>
      <c r="G10" s="27">
        <v>7</v>
      </c>
      <c r="H10" s="48">
        <v>9000</v>
      </c>
      <c r="I10" s="28">
        <f>G10*H10</f>
        <v>63000</v>
      </c>
      <c r="J10" s="1"/>
      <c r="K10" s="6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63" t="s">
        <v>91</v>
      </c>
      <c r="C11" s="25" t="s">
        <v>49</v>
      </c>
      <c r="D11" s="26" t="s">
        <v>42</v>
      </c>
      <c r="E11" s="28" t="s">
        <v>11</v>
      </c>
      <c r="F11" s="28" t="s">
        <v>13</v>
      </c>
      <c r="G11" s="27">
        <v>6</v>
      </c>
      <c r="H11" s="48">
        <v>9000</v>
      </c>
      <c r="I11" s="28">
        <f>G11*H11</f>
        <v>54000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24" t="s">
        <v>92</v>
      </c>
      <c r="C12" s="25" t="s">
        <v>50</v>
      </c>
      <c r="D12" s="26" t="s">
        <v>42</v>
      </c>
      <c r="E12" s="28" t="s">
        <v>11</v>
      </c>
      <c r="F12" s="28" t="s">
        <v>13</v>
      </c>
      <c r="G12" s="27">
        <v>7</v>
      </c>
      <c r="H12" s="48">
        <v>9000</v>
      </c>
      <c r="I12" s="28">
        <f t="shared" ref="I12" si="0">G12*H12</f>
        <v>63000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63" t="s">
        <v>93</v>
      </c>
      <c r="C13" s="25" t="s">
        <v>51</v>
      </c>
      <c r="D13" s="26" t="s">
        <v>42</v>
      </c>
      <c r="E13" s="28" t="s">
        <v>11</v>
      </c>
      <c r="F13" s="28" t="s">
        <v>13</v>
      </c>
      <c r="G13" s="27">
        <v>6</v>
      </c>
      <c r="H13" s="48">
        <v>9000</v>
      </c>
      <c r="I13" s="28">
        <f>G13+H13</f>
        <v>9006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"/>
      <c r="B14" s="64">
        <v>2</v>
      </c>
      <c r="C14" s="30" t="s">
        <v>27</v>
      </c>
      <c r="D14" s="21"/>
      <c r="E14" s="21"/>
      <c r="F14" s="21"/>
      <c r="G14" s="22"/>
      <c r="H14" s="22"/>
      <c r="I14" s="61">
        <f>I15+I16+I17+I18</f>
        <v>537000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63" t="s">
        <v>28</v>
      </c>
      <c r="C15" s="25" t="s">
        <v>52</v>
      </c>
      <c r="D15" s="26" t="s">
        <v>43</v>
      </c>
      <c r="E15" s="28" t="s">
        <v>11</v>
      </c>
      <c r="F15" s="28" t="s">
        <v>13</v>
      </c>
      <c r="G15" s="27">
        <v>22</v>
      </c>
      <c r="H15" s="53">
        <v>8000</v>
      </c>
      <c r="I15" s="28">
        <f>G15*H15</f>
        <v>176000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63" t="s">
        <v>94</v>
      </c>
      <c r="C16" s="25" t="s">
        <v>53</v>
      </c>
      <c r="D16" s="26" t="s">
        <v>43</v>
      </c>
      <c r="E16" s="28" t="s">
        <v>11</v>
      </c>
      <c r="F16" s="28" t="s">
        <v>13</v>
      </c>
      <c r="G16" s="27">
        <v>18</v>
      </c>
      <c r="H16" s="53">
        <v>8000</v>
      </c>
      <c r="I16" s="28">
        <f>G16*H16</f>
        <v>144000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63" t="s">
        <v>96</v>
      </c>
      <c r="C17" s="25" t="s">
        <v>54</v>
      </c>
      <c r="D17" s="26" t="s">
        <v>43</v>
      </c>
      <c r="E17" s="28" t="s">
        <v>11</v>
      </c>
      <c r="F17" s="28" t="s">
        <v>13</v>
      </c>
      <c r="G17" s="31">
        <v>17</v>
      </c>
      <c r="H17" s="53">
        <v>8000</v>
      </c>
      <c r="I17" s="28">
        <f>G17*H17</f>
        <v>136000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63" t="s">
        <v>115</v>
      </c>
      <c r="C18" s="85" t="s">
        <v>116</v>
      </c>
      <c r="D18" s="26" t="s">
        <v>42</v>
      </c>
      <c r="E18" s="28" t="s">
        <v>11</v>
      </c>
      <c r="F18" s="28" t="s">
        <v>13</v>
      </c>
      <c r="G18" s="31">
        <v>9</v>
      </c>
      <c r="H18" s="53">
        <v>9000</v>
      </c>
      <c r="I18" s="28">
        <f>G18*H18</f>
        <v>81000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65">
        <v>3</v>
      </c>
      <c r="C19" s="50" t="s">
        <v>78</v>
      </c>
      <c r="D19" s="21"/>
      <c r="E19" s="23"/>
      <c r="F19" s="23"/>
      <c r="G19" s="22"/>
      <c r="H19" s="54"/>
      <c r="I19" s="61">
        <f>I20+I21+I22+I23+I24+I25</f>
        <v>937000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399999999999999" customHeight="1" x14ac:dyDescent="0.3">
      <c r="A20" s="1"/>
      <c r="B20" s="63" t="s">
        <v>29</v>
      </c>
      <c r="C20" s="51" t="s">
        <v>79</v>
      </c>
      <c r="D20" s="46" t="s">
        <v>81</v>
      </c>
      <c r="E20" s="28" t="s">
        <v>11</v>
      </c>
      <c r="F20" s="29" t="s">
        <v>13</v>
      </c>
      <c r="G20" s="27">
        <v>20</v>
      </c>
      <c r="H20" s="55">
        <v>7000</v>
      </c>
      <c r="I20" s="28">
        <f t="shared" ref="I20:I25" si="1">G20*H20</f>
        <v>140000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399999999999999" customHeight="1" x14ac:dyDescent="0.3">
      <c r="A21" s="1"/>
      <c r="B21" s="63" t="s">
        <v>97</v>
      </c>
      <c r="C21" s="51" t="s">
        <v>80</v>
      </c>
      <c r="D21" s="46" t="s">
        <v>82</v>
      </c>
      <c r="E21" s="28" t="s">
        <v>11</v>
      </c>
      <c r="F21" s="29" t="s">
        <v>13</v>
      </c>
      <c r="G21" s="27">
        <v>8</v>
      </c>
      <c r="H21" s="55">
        <v>9000</v>
      </c>
      <c r="I21" s="28">
        <f t="shared" si="1"/>
        <v>72000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 customHeight="1" x14ac:dyDescent="0.3">
      <c r="A22" s="1"/>
      <c r="B22" s="63" t="s">
        <v>95</v>
      </c>
      <c r="C22" s="25" t="s">
        <v>55</v>
      </c>
      <c r="D22" s="26" t="s">
        <v>76</v>
      </c>
      <c r="E22" s="28" t="s">
        <v>11</v>
      </c>
      <c r="F22" s="29" t="s">
        <v>13</v>
      </c>
      <c r="G22" s="27">
        <v>27</v>
      </c>
      <c r="H22" s="53">
        <v>8000</v>
      </c>
      <c r="I22" s="28">
        <f t="shared" si="1"/>
        <v>216000</v>
      </c>
      <c r="J22" s="1"/>
      <c r="K22" s="8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63" t="s">
        <v>98</v>
      </c>
      <c r="C23" s="25" t="s">
        <v>56</v>
      </c>
      <c r="D23" s="26" t="s">
        <v>44</v>
      </c>
      <c r="E23" s="28" t="s">
        <v>11</v>
      </c>
      <c r="F23" s="29" t="s">
        <v>13</v>
      </c>
      <c r="G23" s="31">
        <v>30</v>
      </c>
      <c r="H23" s="55">
        <v>7000</v>
      </c>
      <c r="I23" s="28">
        <f t="shared" si="1"/>
        <v>210000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8" customHeight="1" x14ac:dyDescent="0.3">
      <c r="A24" s="1"/>
      <c r="B24" s="63" t="s">
        <v>99</v>
      </c>
      <c r="C24" s="85" t="s">
        <v>57</v>
      </c>
      <c r="D24" s="31" t="s">
        <v>76</v>
      </c>
      <c r="E24" s="28" t="s">
        <v>11</v>
      </c>
      <c r="F24" s="29" t="s">
        <v>13</v>
      </c>
      <c r="G24" s="31">
        <v>25</v>
      </c>
      <c r="H24" s="53">
        <v>8000</v>
      </c>
      <c r="I24" s="28">
        <f t="shared" si="1"/>
        <v>200000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8" customHeight="1" x14ac:dyDescent="0.3">
      <c r="A25" s="1"/>
      <c r="B25" s="63" t="s">
        <v>118</v>
      </c>
      <c r="C25" s="86" t="s">
        <v>117</v>
      </c>
      <c r="D25" s="46" t="s">
        <v>82</v>
      </c>
      <c r="E25" s="28" t="s">
        <v>11</v>
      </c>
      <c r="F25" s="29" t="s">
        <v>13</v>
      </c>
      <c r="G25" s="31">
        <v>11</v>
      </c>
      <c r="H25" s="53">
        <v>9000</v>
      </c>
      <c r="I25" s="28">
        <f t="shared" si="1"/>
        <v>99000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65">
        <v>4</v>
      </c>
      <c r="C26" s="36" t="s">
        <v>77</v>
      </c>
      <c r="D26" s="21"/>
      <c r="E26" s="23"/>
      <c r="F26" s="23"/>
      <c r="G26" s="22"/>
      <c r="H26" s="54"/>
      <c r="I26" s="61">
        <f>I27+I28+I29+I30+I31+I32+I33</f>
        <v>835000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32" t="s">
        <v>30</v>
      </c>
      <c r="C27" s="25" t="s">
        <v>58</v>
      </c>
      <c r="D27" s="33" t="s">
        <v>43</v>
      </c>
      <c r="E27" s="31" t="s">
        <v>11</v>
      </c>
      <c r="F27" s="31" t="s">
        <v>13</v>
      </c>
      <c r="G27" s="33">
        <v>17</v>
      </c>
      <c r="H27" s="56">
        <v>8000</v>
      </c>
      <c r="I27" s="49">
        <f>G27*H27</f>
        <v>136000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62" t="s">
        <v>87</v>
      </c>
      <c r="C28" s="89" t="s">
        <v>122</v>
      </c>
      <c r="D28" s="31" t="s">
        <v>84</v>
      </c>
      <c r="E28" s="31" t="s">
        <v>11</v>
      </c>
      <c r="F28" s="31" t="s">
        <v>13</v>
      </c>
      <c r="G28" s="33">
        <v>6</v>
      </c>
      <c r="H28" s="56">
        <v>9000</v>
      </c>
      <c r="I28" s="49">
        <f>G28*H28</f>
        <v>54000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32" t="s">
        <v>100</v>
      </c>
      <c r="C29" s="25" t="s">
        <v>59</v>
      </c>
      <c r="D29" s="33" t="s">
        <v>44</v>
      </c>
      <c r="E29" s="31" t="s">
        <v>11</v>
      </c>
      <c r="F29" s="31" t="s">
        <v>13</v>
      </c>
      <c r="G29" s="33">
        <v>25</v>
      </c>
      <c r="H29" s="55">
        <v>7000</v>
      </c>
      <c r="I29" s="49">
        <f>G29*H29</f>
        <v>175000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62" t="s">
        <v>101</v>
      </c>
      <c r="C30" s="25" t="s">
        <v>60</v>
      </c>
      <c r="D30" s="31" t="s">
        <v>43</v>
      </c>
      <c r="E30" s="31" t="s">
        <v>11</v>
      </c>
      <c r="F30" s="31" t="s">
        <v>13</v>
      </c>
      <c r="G30" s="34">
        <v>22</v>
      </c>
      <c r="H30" s="56">
        <v>8000</v>
      </c>
      <c r="I30" s="35">
        <f t="shared" ref="I30:I32" si="2">H30*G30</f>
        <v>176000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32" t="s">
        <v>102</v>
      </c>
      <c r="C31" s="25" t="s">
        <v>61</v>
      </c>
      <c r="D31" s="34" t="s">
        <v>44</v>
      </c>
      <c r="E31" s="31" t="s">
        <v>11</v>
      </c>
      <c r="F31" s="31" t="s">
        <v>13</v>
      </c>
      <c r="G31" s="34">
        <v>18</v>
      </c>
      <c r="H31" s="55">
        <v>7000</v>
      </c>
      <c r="I31" s="35">
        <f t="shared" si="2"/>
        <v>126000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62" t="s">
        <v>103</v>
      </c>
      <c r="C32" s="25" t="s">
        <v>62</v>
      </c>
      <c r="D32" s="31" t="s">
        <v>44</v>
      </c>
      <c r="E32" s="31" t="s">
        <v>11</v>
      </c>
      <c r="F32" s="31" t="s">
        <v>13</v>
      </c>
      <c r="G32" s="34">
        <v>15</v>
      </c>
      <c r="H32" s="55">
        <v>7000</v>
      </c>
      <c r="I32" s="35">
        <f t="shared" si="2"/>
        <v>105000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62" t="s">
        <v>121</v>
      </c>
      <c r="C33" s="33" t="s">
        <v>83</v>
      </c>
      <c r="D33" s="31" t="s">
        <v>84</v>
      </c>
      <c r="E33" s="31" t="s">
        <v>11</v>
      </c>
      <c r="F33" s="31" t="s">
        <v>13</v>
      </c>
      <c r="G33" s="34">
        <v>7</v>
      </c>
      <c r="H33" s="56">
        <v>9000</v>
      </c>
      <c r="I33" s="35">
        <f>G33*H33</f>
        <v>63000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3"/>
      <c r="B34" s="67">
        <v>5</v>
      </c>
      <c r="C34" s="36" t="s">
        <v>68</v>
      </c>
      <c r="D34" s="37"/>
      <c r="E34" s="37"/>
      <c r="F34" s="37"/>
      <c r="G34" s="37"/>
      <c r="H34" s="57"/>
      <c r="I34" s="60">
        <f>I35+I36+I37+I38+I39+I40+I41+I42</f>
        <v>530000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32" t="s">
        <v>31</v>
      </c>
      <c r="C35" s="25" t="s">
        <v>63</v>
      </c>
      <c r="D35" s="33" t="s">
        <v>43</v>
      </c>
      <c r="E35" s="31" t="s">
        <v>11</v>
      </c>
      <c r="F35" s="31" t="s">
        <v>13</v>
      </c>
      <c r="G35" s="33">
        <v>9</v>
      </c>
      <c r="H35" s="56">
        <v>8000</v>
      </c>
      <c r="I35" s="35">
        <f>G35*H35</f>
        <v>72000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62" t="s">
        <v>88</v>
      </c>
      <c r="C36" s="25" t="s">
        <v>64</v>
      </c>
      <c r="D36" s="33" t="s">
        <v>44</v>
      </c>
      <c r="E36" s="31" t="s">
        <v>11</v>
      </c>
      <c r="F36" s="31" t="s">
        <v>13</v>
      </c>
      <c r="G36" s="33">
        <v>16</v>
      </c>
      <c r="H36" s="55">
        <v>7000</v>
      </c>
      <c r="I36" s="35">
        <f>G36*H36</f>
        <v>112000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32" t="s">
        <v>104</v>
      </c>
      <c r="C37" s="25" t="s">
        <v>65</v>
      </c>
      <c r="D37" s="33" t="s">
        <v>43</v>
      </c>
      <c r="E37" s="31" t="s">
        <v>11</v>
      </c>
      <c r="F37" s="31" t="s">
        <v>13</v>
      </c>
      <c r="G37" s="34">
        <v>8</v>
      </c>
      <c r="H37" s="56">
        <v>8000</v>
      </c>
      <c r="I37" s="35">
        <f t="shared" ref="I37:I40" si="3">H37*G37</f>
        <v>64000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62" t="s">
        <v>105</v>
      </c>
      <c r="C38" s="25" t="s">
        <v>66</v>
      </c>
      <c r="D38" s="33" t="s">
        <v>43</v>
      </c>
      <c r="E38" s="31" t="s">
        <v>11</v>
      </c>
      <c r="F38" s="31" t="s">
        <v>13</v>
      </c>
      <c r="G38" s="34">
        <v>9</v>
      </c>
      <c r="H38" s="56">
        <v>8000</v>
      </c>
      <c r="I38" s="35">
        <f t="shared" si="3"/>
        <v>72000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32" t="s">
        <v>106</v>
      </c>
      <c r="C39" s="25" t="s">
        <v>67</v>
      </c>
      <c r="D39" s="33" t="s">
        <v>44</v>
      </c>
      <c r="E39" s="31" t="s">
        <v>11</v>
      </c>
      <c r="F39" s="31" t="s">
        <v>13</v>
      </c>
      <c r="G39" s="34">
        <v>5</v>
      </c>
      <c r="H39" s="55">
        <v>7000</v>
      </c>
      <c r="I39" s="35">
        <f t="shared" si="3"/>
        <v>35000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62" t="s">
        <v>107</v>
      </c>
      <c r="C40" s="25" t="s">
        <v>85</v>
      </c>
      <c r="D40" s="33" t="s">
        <v>43</v>
      </c>
      <c r="E40" s="31" t="s">
        <v>11</v>
      </c>
      <c r="F40" s="31" t="s">
        <v>13</v>
      </c>
      <c r="G40" s="34">
        <v>5</v>
      </c>
      <c r="H40" s="56">
        <v>8000</v>
      </c>
      <c r="I40" s="35">
        <f t="shared" si="3"/>
        <v>40000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62" t="s">
        <v>113</v>
      </c>
      <c r="C41" s="85" t="s">
        <v>114</v>
      </c>
      <c r="D41" s="31" t="s">
        <v>84</v>
      </c>
      <c r="E41" s="31" t="s">
        <v>11</v>
      </c>
      <c r="F41" s="31" t="s">
        <v>13</v>
      </c>
      <c r="G41" s="34">
        <v>8</v>
      </c>
      <c r="H41" s="58">
        <v>9000</v>
      </c>
      <c r="I41" s="35">
        <f>G41*H41</f>
        <v>72000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32" t="s">
        <v>120</v>
      </c>
      <c r="C42" s="86" t="s">
        <v>119</v>
      </c>
      <c r="D42" s="31" t="s">
        <v>84</v>
      </c>
      <c r="E42" s="31" t="s">
        <v>11</v>
      </c>
      <c r="F42" s="31" t="s">
        <v>13</v>
      </c>
      <c r="G42" s="34">
        <v>7</v>
      </c>
      <c r="H42" s="58">
        <v>9000</v>
      </c>
      <c r="I42" s="35">
        <f>G42*H42</f>
        <v>63000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3"/>
      <c r="B43" s="66">
        <v>6</v>
      </c>
      <c r="C43" s="38" t="s">
        <v>33</v>
      </c>
      <c r="D43" s="37"/>
      <c r="E43" s="37"/>
      <c r="F43" s="37"/>
      <c r="G43" s="37"/>
      <c r="H43" s="57"/>
      <c r="I43" s="60">
        <f>I44+I45+I46</f>
        <v>96004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4.25" customHeight="1" x14ac:dyDescent="0.3">
      <c r="A44" s="1"/>
      <c r="B44" s="62" t="s">
        <v>32</v>
      </c>
      <c r="C44" s="25" t="s">
        <v>69</v>
      </c>
      <c r="D44" s="31" t="s">
        <v>84</v>
      </c>
      <c r="E44" s="31" t="s">
        <v>11</v>
      </c>
      <c r="F44" s="31" t="s">
        <v>13</v>
      </c>
      <c r="G44" s="33">
        <v>7</v>
      </c>
      <c r="H44" s="58">
        <v>9000</v>
      </c>
      <c r="I44" s="35">
        <f>G44*H44</f>
        <v>63000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62" t="s">
        <v>108</v>
      </c>
      <c r="C45" s="25" t="s">
        <v>70</v>
      </c>
      <c r="D45" s="33" t="s">
        <v>43</v>
      </c>
      <c r="E45" s="31" t="s">
        <v>11</v>
      </c>
      <c r="F45" s="31" t="s">
        <v>13</v>
      </c>
      <c r="G45" s="33">
        <v>3</v>
      </c>
      <c r="H45" s="56">
        <v>8000</v>
      </c>
      <c r="I45" s="35">
        <f>G45*H45</f>
        <v>24000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62" t="s">
        <v>109</v>
      </c>
      <c r="C46" s="90" t="s">
        <v>123</v>
      </c>
      <c r="D46" s="31" t="s">
        <v>84</v>
      </c>
      <c r="E46" s="31" t="s">
        <v>11</v>
      </c>
      <c r="F46" s="31" t="s">
        <v>13</v>
      </c>
      <c r="G46" s="34">
        <v>4</v>
      </c>
      <c r="H46" s="58">
        <v>9000</v>
      </c>
      <c r="I46" s="35">
        <f>G46+H46</f>
        <v>9004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62" t="s">
        <v>110</v>
      </c>
      <c r="C47" s="25" t="s">
        <v>71</v>
      </c>
      <c r="D47" s="31" t="s">
        <v>84</v>
      </c>
      <c r="E47" s="31" t="s">
        <v>11</v>
      </c>
      <c r="F47" s="31" t="s">
        <v>13</v>
      </c>
      <c r="G47" s="34">
        <v>0</v>
      </c>
      <c r="H47" s="59" t="s">
        <v>86</v>
      </c>
      <c r="I47" s="3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</sheetData>
  <phoneticPr fontId="19" type="noConversion"/>
  <pageMargins left="0.23622047244094491" right="0.23622047244094491" top="0.74803149606299213" bottom="0.74803149606299213" header="0" footer="0"/>
  <pageSetup fitToHeight="0" orientation="portrait"/>
  <ignoredErrors>
    <ignoredError sqref="I19 I34 I43 I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1" sqref="D1"/>
    </sheetView>
  </sheetViews>
  <sheetFormatPr baseColWidth="10" defaultColWidth="14.44140625" defaultRowHeight="15" customHeight="1" x14ac:dyDescent="0.3"/>
  <cols>
    <col min="1" max="1" width="1.44140625" customWidth="1"/>
    <col min="2" max="2" width="40.44140625" bestFit="1" customWidth="1"/>
    <col min="3" max="3" width="22.5546875" customWidth="1"/>
    <col min="4" max="4" width="25.109375" customWidth="1"/>
    <col min="5" max="5" width="10.77734375" bestFit="1" customWidth="1"/>
    <col min="6" max="6" width="13.77734375" customWidth="1"/>
    <col min="7" max="26" width="11.44140625" customWidth="1"/>
  </cols>
  <sheetData>
    <row r="1" spans="1:26" ht="38.4" customHeight="1" x14ac:dyDescent="0.5">
      <c r="A1" s="1"/>
      <c r="B1" s="2" t="s">
        <v>0</v>
      </c>
      <c r="C1" s="1"/>
      <c r="D1" s="42" t="s">
        <v>75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41" t="s">
        <v>38</v>
      </c>
      <c r="C3" s="1"/>
      <c r="D3" s="1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41" t="s">
        <v>74</v>
      </c>
      <c r="C4" s="1"/>
      <c r="D4" s="1"/>
      <c r="E4" s="7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8" t="s">
        <v>23</v>
      </c>
      <c r="C6" s="8" t="s">
        <v>24</v>
      </c>
      <c r="D6" s="8" t="s">
        <v>7</v>
      </c>
      <c r="E6" s="8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1"/>
      <c r="C7" s="11"/>
      <c r="D7" s="11"/>
      <c r="E7" s="1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43" t="s">
        <v>42</v>
      </c>
      <c r="C8" s="26" t="s">
        <v>11</v>
      </c>
      <c r="D8" s="26" t="s">
        <v>34</v>
      </c>
      <c r="E8" s="44">
        <v>9000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43" t="s">
        <v>43</v>
      </c>
      <c r="C9" s="26" t="s">
        <v>11</v>
      </c>
      <c r="D9" s="26" t="s">
        <v>34</v>
      </c>
      <c r="E9" s="44">
        <v>8000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43" t="s">
        <v>44</v>
      </c>
      <c r="C10" s="26" t="s">
        <v>11</v>
      </c>
      <c r="D10" s="26" t="s">
        <v>34</v>
      </c>
      <c r="E10" s="45">
        <v>7000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43" t="s">
        <v>45</v>
      </c>
      <c r="C11" s="46" t="s">
        <v>16</v>
      </c>
      <c r="D11" s="47" t="s">
        <v>73</v>
      </c>
      <c r="E11" s="44">
        <v>25000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47" t="s">
        <v>72</v>
      </c>
      <c r="C12" s="46" t="s">
        <v>16</v>
      </c>
      <c r="D12" s="47" t="s">
        <v>73</v>
      </c>
      <c r="E12" s="44">
        <v>13000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40"/>
      <c r="C13" s="39"/>
      <c r="D13" s="40"/>
      <c r="E13" s="1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2"/>
      <c r="C14" s="12"/>
      <c r="D14" s="12"/>
      <c r="E14" s="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2"/>
      <c r="C15" s="12"/>
      <c r="D15" s="12"/>
      <c r="E15" s="1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2"/>
      <c r="C16" s="12"/>
      <c r="D16" s="12"/>
      <c r="E16" s="1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2"/>
      <c r="C17" s="12"/>
      <c r="D17" s="12"/>
      <c r="E17" s="1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2"/>
      <c r="C18" s="12"/>
      <c r="D18" s="12"/>
      <c r="E18" s="1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2"/>
      <c r="C19" s="12"/>
      <c r="D19" s="12"/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2"/>
      <c r="C20" s="12"/>
      <c r="D20" s="12"/>
      <c r="E20" s="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2"/>
      <c r="C21" s="12"/>
      <c r="D21" s="12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 Recursos</vt:lpstr>
      <vt:lpstr>Presupuesto Detallado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jonathan san</cp:lastModifiedBy>
  <dcterms:created xsi:type="dcterms:W3CDTF">2012-09-02T03:53:17Z</dcterms:created>
  <dcterms:modified xsi:type="dcterms:W3CDTF">2025-11-29T19:35:32Z</dcterms:modified>
</cp:coreProperties>
</file>